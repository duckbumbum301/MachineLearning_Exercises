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ample 2 - Regr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Simple Linear Regression</a:t>
            </a:r>
          </a:p>
        </rich>
      </tx>
    </title>
    <plotArea>
      <lineChart>
        <grouping val="standard"/>
        <ser>
          <idx val="0"/>
          <order val="0"/>
          <tx>
            <strRef>
              <f>'Example 2 - Regression'!B1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'Example 2 - Regression'!$A$2:$A$14</f>
            </numRef>
          </cat>
          <val>
            <numRef>
              <f>'Example 2 - Regression'!$B$2:$B$14</f>
            </numRef>
          </val>
        </ser>
        <ser>
          <idx val="1"/>
          <order val="1"/>
          <tx>
            <strRef>
              <f>'Example 2 - Regression'!C1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'Example 2 - Regression'!$A$2:$A$14</f>
            </numRef>
          </cat>
          <val>
            <numRef>
              <f>'Example 2 - Regression'!$C$2:$C$14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x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 and predicted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y</t>
        </is>
      </c>
      <c r="C1" t="inlineStr">
        <is>
          <t>Y-predicted</t>
        </is>
      </c>
      <c r="D1" t="inlineStr">
        <is>
          <t>Standard deviation x=</t>
        </is>
      </c>
      <c r="E1">
        <f>STDEV(A2:A14)</f>
        <v/>
      </c>
    </row>
    <row r="2">
      <c r="A2" t="n">
        <v>73.5</v>
      </c>
      <c r="B2" t="n">
        <v>1.49</v>
      </c>
      <c r="C2">
        <f>$E$7+$E$6*A2</f>
        <v/>
      </c>
      <c r="D2" t="inlineStr">
        <is>
          <t>Standard deviation y=</t>
        </is>
      </c>
      <c r="E2">
        <f>STDEV(B2:B14)</f>
        <v/>
      </c>
    </row>
    <row r="3">
      <c r="A3" t="n">
        <v>75</v>
      </c>
      <c r="B3" t="n">
        <v>1.5</v>
      </c>
      <c r="C3">
        <f>$E$7+$E$6*A3</f>
        <v/>
      </c>
      <c r="D3" t="inlineStr">
        <is>
          <t>Average x=</t>
        </is>
      </c>
      <c r="E3">
        <f>AVERAGE(A2:A14)</f>
        <v/>
      </c>
    </row>
    <row r="4">
      <c r="A4" t="n">
        <v>76.5</v>
      </c>
      <c r="B4" t="n">
        <v>1.51</v>
      </c>
      <c r="C4">
        <f>$E$7+$E$6*A4</f>
        <v/>
      </c>
      <c r="D4" t="inlineStr">
        <is>
          <t>Average y=</t>
        </is>
      </c>
      <c r="E4">
        <f>AVERAGE(B2:B14)</f>
        <v/>
      </c>
    </row>
    <row r="5">
      <c r="A5" t="n">
        <v>79</v>
      </c>
      <c r="B5" t="n">
        <v>1.54</v>
      </c>
      <c r="C5">
        <f>$E$7+$E$6*A5</f>
        <v/>
      </c>
      <c r="D5" t="inlineStr">
        <is>
          <t>Correlation x &amp; y=</t>
        </is>
      </c>
      <c r="E5">
        <f>CORREL(A2:A14,B2:B14)</f>
        <v/>
      </c>
    </row>
    <row r="6">
      <c r="A6" t="n">
        <v>81.5</v>
      </c>
      <c r="B6" t="n">
        <v>1.58</v>
      </c>
      <c r="C6">
        <f>$E$7+$E$6*A6</f>
        <v/>
      </c>
      <c r="D6" t="inlineStr">
        <is>
          <t>B1=</t>
        </is>
      </c>
      <c r="E6">
        <f>E5*(E2/E1)</f>
        <v/>
      </c>
    </row>
    <row r="7">
      <c r="A7" t="n">
        <v>82.5</v>
      </c>
      <c r="B7" t="n">
        <v>1.59</v>
      </c>
      <c r="C7">
        <f>$E$7+$E$6*A7</f>
        <v/>
      </c>
      <c r="D7" t="inlineStr">
        <is>
          <t>B0=</t>
        </is>
      </c>
      <c r="E7">
        <f>E4-E6*E3</f>
        <v/>
      </c>
    </row>
    <row r="8">
      <c r="A8" t="n">
        <v>84</v>
      </c>
      <c r="B8" t="n">
        <v>1.6</v>
      </c>
      <c r="C8">
        <f>$E$7+$E$6*A8</f>
        <v/>
      </c>
    </row>
    <row r="9">
      <c r="A9" t="n">
        <v>85</v>
      </c>
      <c r="B9" t="n">
        <v>1.62</v>
      </c>
      <c r="C9">
        <f>$E$7+$E$6*A9</f>
        <v/>
      </c>
    </row>
    <row r="10">
      <c r="A10" t="n">
        <v>86.5</v>
      </c>
      <c r="B10" t="n">
        <v>1.63</v>
      </c>
      <c r="C10">
        <f>$E$7+$E$6*A10</f>
        <v/>
      </c>
    </row>
    <row r="11">
      <c r="A11" t="n">
        <v>87.5</v>
      </c>
      <c r="B11" t="n">
        <v>1.64</v>
      </c>
      <c r="C11">
        <f>$E$7+$E$6*A11</f>
        <v/>
      </c>
    </row>
    <row r="12">
      <c r="A12" t="n">
        <v>89</v>
      </c>
      <c r="B12" t="n">
        <v>1.66</v>
      </c>
      <c r="C12">
        <f>$E$7+$E$6*A12</f>
        <v/>
      </c>
    </row>
    <row r="13">
      <c r="A13" t="n">
        <v>90</v>
      </c>
      <c r="B13" t="n">
        <v>1.67</v>
      </c>
      <c r="C13">
        <f>$E$7+$E$6*A13</f>
        <v/>
      </c>
    </row>
    <row r="14">
      <c r="A14" t="n">
        <v>91.5</v>
      </c>
      <c r="B14" t="n">
        <v>1.68</v>
      </c>
      <c r="C14">
        <f>$E$7+$E$6*A14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2025-10-26T01:27:36Z</dcterms:created>
  <dcterms:modified xmlns:dcterms="http://purl.org/dc/terms/" xmlns:xsi="http://www.w3.org/2001/XMLSchema-instance" xsi:type="dcterms:W3CDTF">2025-10-26T01:27:36Z</dcterms:modified>
</cp:coreProperties>
</file>