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chineLearning\ML_Excercises\SimpleLinear\"/>
    </mc:Choice>
  </mc:AlternateContent>
  <xr:revisionPtr revIDLastSave="0" documentId="13_ncr:1_{399B1F69-B6D3-4AD2-9D67-20513F2E96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mple Linear Reg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4" i="1"/>
  <c r="E3" i="1"/>
  <c r="E2" i="1"/>
  <c r="E1" i="1"/>
  <c r="E7" i="1" l="1"/>
  <c r="C7" i="1" l="1"/>
  <c r="C10" i="1"/>
  <c r="C6" i="1"/>
  <c r="C5" i="1"/>
  <c r="C4" i="1"/>
  <c r="C3" i="1"/>
  <c r="C2" i="1"/>
  <c r="C11" i="1"/>
  <c r="C8" i="1"/>
  <c r="C9" i="1"/>
</calcChain>
</file>

<file path=xl/sharedStrings.xml><?xml version="1.0" encoding="utf-8"?>
<sst xmlns="http://schemas.openxmlformats.org/spreadsheetml/2006/main" count="10" uniqueCount="10">
  <si>
    <t>x</t>
  </si>
  <si>
    <t>y</t>
  </si>
  <si>
    <t>Y-predicted</t>
  </si>
  <si>
    <t>Standard deviation x=</t>
  </si>
  <si>
    <t>Standard deviation y=</t>
  </si>
  <si>
    <t>Average x=</t>
  </si>
  <si>
    <t>Average y=</t>
  </si>
  <si>
    <t>Correlation x &amp; y=</t>
  </si>
  <si>
    <t>B1=</t>
  </si>
  <si>
    <t>B0=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</si>
</sst>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Simple Linear Regression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195092592592593"/>
          <c:y val="0.13677222222222221"/>
          <c:w val="0.66808037037037038"/>
          <c:h val="0.58450185185185188"/>
        </c:manualLayout>
      </c:layout>
      <c:lineChart>
        <c:grouping val="standard"/>
        <c:varyColors val="0"/>
        <c:ser>
          <c:idx val="0"/>
          <c:order val="0"/>
          <c:tx>
            <c:strRef>
              <c:f>'Simple Linear Regression'!$B$1</c:f>
              <c:strCache>
                <c:ptCount val="1"/>
                <c:pt idx="0">
                  <c:v>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'Simple Linear Regression'!$A$2:$A$11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'Simple Linear Regression'!$B$2:$B$11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8-4844-B290-FE021D44FA51}"/>
            </c:ext>
          </c:extLst>
        </c:ser>
        <c:ser>
          <c:idx val="1"/>
          <c:order val="1"/>
          <c:tx>
            <c:strRef>
              <c:f>'Simple Linear Regression'!$C$1</c:f>
              <c:strCache>
                <c:ptCount val="1"/>
                <c:pt idx="0">
                  <c:v>Y-predicted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'Simple Linear Regression'!$A$2:$A$11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'Simple Linear Regression'!$C$2:$C$11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8-4844-B290-FE021D44F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and predicted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2" sqref="C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>
        <f>STDEV(A2:A11)</f>
        <v>3.0276503540974917</v>
      </c>
    </row>
    <row r="2" spans="1:5" x14ac:dyDescent="0.35">
      <c r="A2">
        <v>1</v>
      </c>
      <c r="B2">
        <v>2</v>
      </c>
      <c r="C2">
        <f t="shared" ref="C2:C11" si="0">$E$7 + $E$6 * A2</f>
        <v>0.81818181818181879</v>
      </c>
      <c r="D2" t="s">
        <v>4</v>
      </c>
      <c r="E2">
        <f>STDEV(B2:B11)</f>
        <v>6.3909658459769938</v>
      </c>
    </row>
    <row r="3" spans="1:5" x14ac:dyDescent="0.35">
      <c r="A3">
        <v>2</v>
      </c>
      <c r="B3">
        <v>4</v>
      </c>
      <c r="C3">
        <f t="shared" si="0"/>
        <v>2.9030303030303033</v>
      </c>
      <c r="D3" t="s">
        <v>5</v>
      </c>
      <c r="E3">
        <f>AVERAGE(A2:A11)</f>
        <v>5.5</v>
      </c>
    </row>
    <row r="4" spans="1:5" x14ac:dyDescent="0.35">
      <c r="A4">
        <v>3</v>
      </c>
      <c r="B4">
        <v>3</v>
      </c>
      <c r="C4">
        <f t="shared" si="0"/>
        <v>4.9878787878787882</v>
      </c>
      <c r="D4" t="s">
        <v>6</v>
      </c>
      <c r="E4">
        <f>AVERAGE(B2:B11)</f>
        <v>10.199999999999999</v>
      </c>
    </row>
    <row r="5" spans="1:5" x14ac:dyDescent="0.35">
      <c r="A5">
        <v>4</v>
      </c>
      <c r="B5">
        <v>6</v>
      </c>
      <c r="C5">
        <f t="shared" si="0"/>
        <v>7.0727272727272723</v>
      </c>
      <c r="D5" t="s">
        <v>7</v>
      </c>
      <c r="E5">
        <f>CORREL(A2:A11,B2:B11)</f>
        <v>0.98767422726324727</v>
      </c>
    </row>
    <row r="6" spans="1:5" x14ac:dyDescent="0.35">
      <c r="A6">
        <v>5</v>
      </c>
      <c r="B6">
        <v>9</v>
      </c>
      <c r="C6">
        <f t="shared" si="0"/>
        <v>9.1575757575757564</v>
      </c>
      <c r="D6" t="s">
        <v>8</v>
      </c>
      <c r="E6">
        <f>E5*(E2/E1)</f>
        <v>2.0848484848484845</v>
      </c>
    </row>
    <row r="7" spans="1:5" x14ac:dyDescent="0.35">
      <c r="A7">
        <v>6</v>
      </c>
      <c r="B7">
        <v>12</v>
      </c>
      <c r="C7">
        <f t="shared" si="0"/>
        <v>11.242424242424242</v>
      </c>
      <c r="D7" t="s">
        <v>9</v>
      </c>
      <c r="E7">
        <f>E4-E6*E3</f>
        <v>-1.2666666666666657</v>
      </c>
    </row>
    <row r="8" spans="1:5" x14ac:dyDescent="0.35">
      <c r="A8">
        <v>7</v>
      </c>
      <c r="B8">
        <v>13</v>
      </c>
      <c r="C8">
        <f t="shared" si="0"/>
        <v>13.327272727272726</v>
      </c>
    </row>
    <row r="9" spans="1:5" x14ac:dyDescent="0.35">
      <c r="A9">
        <v>8</v>
      </c>
      <c r="B9">
        <v>15</v>
      </c>
      <c r="C9">
        <f t="shared" si="0"/>
        <v>15.41212121212121</v>
      </c>
    </row>
    <row r="10" spans="1:5" x14ac:dyDescent="0.35">
      <c r="A10">
        <v>9</v>
      </c>
      <c r="B10">
        <v>18</v>
      </c>
      <c r="C10">
        <f t="shared" si="0"/>
        <v>17.496969696969696</v>
      </c>
    </row>
    <row r="11" spans="1:5" x14ac:dyDescent="0.35">
      <c r="A11">
        <v>10</v>
      </c>
      <c r="B11">
        <v>20</v>
      </c>
      <c r="C11">
        <f t="shared" si="0"/>
        <v>19.581818181818178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Linear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 Chí</cp:lastModifiedBy>
  <dcterms:created xsi:type="dcterms:W3CDTF">2025-10-26T01:27:36Z</dcterms:created>
  <dcterms:modified xsi:type="dcterms:W3CDTF">2025-10-26T01:42:03Z</dcterms:modified>
</cp:coreProperties>
</file>